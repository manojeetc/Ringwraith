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<sst xmlns="http://schemas.openxmlformats.org/spreadsheetml/2006/main" count="53" uniqueCount="36">
  <si>
    <t>Name</t>
  </si>
  <si>
    <t>Amount</t>
  </si>
  <si>
    <t>Unit Cost</t>
  </si>
  <si>
    <t>Supplier</t>
  </si>
  <si>
    <t>Brand</t>
  </si>
  <si>
    <t>Product URL</t>
  </si>
  <si>
    <t>Total Cost</t>
  </si>
  <si>
    <t>Notes</t>
  </si>
  <si>
    <t>F722 55A Stack</t>
  </si>
  <si>
    <t>1x</t>
  </si>
  <si>
    <t>AliExpress</t>
  </si>
  <si>
    <t>JHEMCU</t>
  </si>
  <si>
    <t>Mark4 HD 5in 240mm Frame</t>
  </si>
  <si>
    <t>Mitoot</t>
  </si>
  <si>
    <t>Frame only, 5mm arms</t>
  </si>
  <si>
    <t>XING-E Pro 2207 1800KV Motor</t>
  </si>
  <si>
    <t>4x</t>
  </si>
  <si>
    <t>iFlight</t>
  </si>
  <si>
    <t>Bought as a 4-pack for $76.20</t>
  </si>
  <si>
    <t>Nano 2.4G ELRS Receiver</t>
  </si>
  <si>
    <t>SpeedyBee</t>
  </si>
  <si>
    <t>ExpressLRS, 2.4GHz</t>
  </si>
  <si>
    <t>Nazgul F5 5in Tri-blade Props</t>
  </si>
  <si>
    <t>8 pcs (2 sets), grey</t>
  </si>
  <si>
    <t>6S 1300mAh 130C LiPo</t>
  </si>
  <si>
    <t>Ovonic</t>
  </si>
  <si>
    <t>2-pack, XT60</t>
  </si>
  <si>
    <t>Velcro Battery Strap 20x250mm</t>
  </si>
  <si>
    <t>Generic</t>
  </si>
  <si>
    <t>5-pack; pick the 20x250mm option</t>
  </si>
  <si>
    <t>Pocket ELRS Radio</t>
  </si>
  <si>
    <t>RadioMaster</t>
  </si>
  <si>
    <t>ELRS FCC, Charcoal</t>
  </si>
  <si>
    <t>18650 3200mAh Battery</t>
  </si>
  <si>
    <t>2 cells, powers the radio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</si>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</sst>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color rgb="FF000000"/>
      <name val="Merriweather"/>
    </font>
    <font>
      <color rgb="FF000000"/>
      <name val="Merriweather"/>
    </font>
    <font>
      <color theme="1"/>
      <name val="Merriweather"/>
    </font>
    <font>
      <u/>
      <color rgb="FF0000FF"/>
      <name val="Merriweather"/>
    </font>
    <font>
      <b/>
      <color theme="1"/>
      <name val="Merriweathe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0" xfId="0" applyFont="1"/>
    <xf borderId="0" fillId="0" fontId="3" numFmtId="164" xfId="0" applyFont="1" applyNumberFormat="1"/>
    <xf borderId="0" fillId="0" fontId="5" numFmtId="0" xfId="0" applyAlignment="1" applyFont="1">
      <alignment readingOrder="0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4">
        <v>71.0</v>
      </c>
      <c r="D2" s="3" t="s">
        <v>10</v>
      </c>
      <c r="E2" s="3" t="s">
        <v>11</v>
      </c>
      <c r="F2" s="5" t="str">
        <f>HYPERLINK("https://www.aliexpress.us/item/3256809222031585.html", "View")</f>
        <v>View</v>
      </c>
      <c r="G2" s="4">
        <v>71.0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12</v>
      </c>
      <c r="B3" s="3" t="s">
        <v>9</v>
      </c>
      <c r="C3" s="4">
        <v>17.93</v>
      </c>
      <c r="D3" s="3" t="s">
        <v>10</v>
      </c>
      <c r="E3" s="3" t="s">
        <v>13</v>
      </c>
      <c r="F3" s="5" t="str">
        <f>HYPERLINK("https://www.aliexpress.us/item/3256807142774342.html", "View")</f>
        <v>View</v>
      </c>
      <c r="G3" s="4">
        <f t="shared" ref="G3:G10" si="1">VALUE(SUBSTITUTE(B3,"x",""))*C3</f>
        <v>17.93</v>
      </c>
      <c r="H3" s="3" t="s">
        <v>14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15</v>
      </c>
      <c r="B4" s="3" t="s">
        <v>16</v>
      </c>
      <c r="C4" s="4">
        <v>19.05</v>
      </c>
      <c r="D4" s="3" t="s">
        <v>10</v>
      </c>
      <c r="E4" s="3" t="s">
        <v>17</v>
      </c>
      <c r="F4" s="5" t="str">
        <f>HYPERLINK("https://www.aliexpress.us/item/3256807565015473.html", "View")</f>
        <v>View</v>
      </c>
      <c r="G4" s="7">
        <f t="shared" si="1"/>
        <v>76.2</v>
      </c>
      <c r="H4" s="3" t="s">
        <v>18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19</v>
      </c>
      <c r="B5" s="3" t="s">
        <v>9</v>
      </c>
      <c r="C5" s="4">
        <v>17.09</v>
      </c>
      <c r="D5" s="3" t="s">
        <v>10</v>
      </c>
      <c r="E5" s="3" t="s">
        <v>20</v>
      </c>
      <c r="F5" s="5" t="str">
        <f>HYPERLINK("https://www.aliexpress.us/item/3256806553242920.html", "View")</f>
        <v>View</v>
      </c>
      <c r="G5" s="7">
        <f t="shared" si="1"/>
        <v>17.09</v>
      </c>
      <c r="H5" s="3" t="s">
        <v>21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 t="s">
        <v>22</v>
      </c>
      <c r="B6" s="3" t="s">
        <v>9</v>
      </c>
      <c r="C6" s="4">
        <v>11.19</v>
      </c>
      <c r="D6" s="3" t="s">
        <v>10</v>
      </c>
      <c r="E6" s="3" t="s">
        <v>17</v>
      </c>
      <c r="F6" s="5" t="str">
        <f>HYPERLINK("https://www.aliexpress.us/item/3256809470421506.html", "View")</f>
        <v>View</v>
      </c>
      <c r="G6" s="7">
        <f t="shared" si="1"/>
        <v>11.19</v>
      </c>
      <c r="H6" s="3" t="s">
        <v>23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 t="s">
        <v>24</v>
      </c>
      <c r="B7" s="3" t="s">
        <v>9</v>
      </c>
      <c r="C7" s="4">
        <v>28.25</v>
      </c>
      <c r="D7" s="3" t="s">
        <v>10</v>
      </c>
      <c r="E7" s="3" t="s">
        <v>25</v>
      </c>
      <c r="F7" s="5" t="str">
        <f>HYPERLINK("https://www.aliexpress.us/item/3256812615297678.html", "View")</f>
        <v>View</v>
      </c>
      <c r="G7" s="7">
        <f t="shared" si="1"/>
        <v>28.25</v>
      </c>
      <c r="H7" s="3" t="s">
        <v>26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 t="s">
        <v>27</v>
      </c>
      <c r="B8" s="3" t="s">
        <v>9</v>
      </c>
      <c r="C8" s="4">
        <v>8.9</v>
      </c>
      <c r="D8" s="3" t="s">
        <v>10</v>
      </c>
      <c r="E8" s="3" t="s">
        <v>28</v>
      </c>
      <c r="F8" s="5" t="str">
        <f>HYPERLINK("https://www.aliexpress.us/item/3256809477609270.html", "View")</f>
        <v>View</v>
      </c>
      <c r="G8" s="7">
        <f t="shared" si="1"/>
        <v>8.9</v>
      </c>
      <c r="H8" s="3" t="s">
        <v>29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 t="s">
        <v>30</v>
      </c>
      <c r="B9" s="3" t="s">
        <v>9</v>
      </c>
      <c r="C9" s="4">
        <v>73.34</v>
      </c>
      <c r="D9" s="3" t="s">
        <v>10</v>
      </c>
      <c r="E9" s="3" t="s">
        <v>31</v>
      </c>
      <c r="F9" s="5" t="str">
        <f>HYPERLINK("https://www.aliexpress.us/item/3256812290588180.html", "View")</f>
        <v>View</v>
      </c>
      <c r="G9" s="7">
        <f t="shared" si="1"/>
        <v>73.34</v>
      </c>
      <c r="H9" s="3" t="s">
        <v>32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 t="s">
        <v>33</v>
      </c>
      <c r="B10" s="3" t="s">
        <v>9</v>
      </c>
      <c r="C10" s="4">
        <v>15.02</v>
      </c>
      <c r="D10" s="3" t="s">
        <v>10</v>
      </c>
      <c r="E10" s="3" t="s">
        <v>28</v>
      </c>
      <c r="F10" s="5" t="str">
        <f>HYPERLINK("https://www.aliexpress.us/item/3256811475591637.html", "View")</f>
        <v>View</v>
      </c>
      <c r="G10" s="7">
        <f t="shared" si="1"/>
        <v>15.02</v>
      </c>
      <c r="H10" s="3" t="s">
        <v>34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35</v>
      </c>
      <c r="B11" s="6"/>
      <c r="C11" s="7"/>
      <c r="D11" s="6"/>
      <c r="E11" s="6"/>
      <c r="F11" s="6"/>
      <c r="G11" s="9">
        <f>SUM(G2:G10)</f>
        <v>318.92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